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Lights\lego-city-lights\data_model\"/>
    </mc:Choice>
  </mc:AlternateContent>
  <xr:revisionPtr revIDLastSave="0" documentId="13_ncr:1_{D746CA48-7F6E-40E0-B4BE-0C8329E6DC7B}" xr6:coauthVersionLast="47" xr6:coauthVersionMax="47" xr10:uidLastSave="{00000000-0000-0000-0000-000000000000}"/>
  <bookViews>
    <workbookView xWindow="-110" yWindow="-110" windowWidth="38620" windowHeight="21100" xr2:uid="{31D65A44-0184-4119-AFFE-AD88410F611A}"/>
  </bookViews>
  <sheets>
    <sheet name="LightingPlan" sheetId="1" r:id="rId1"/>
    <sheet name="Drop-dow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B30" i="1"/>
  <c r="B31" i="1"/>
  <c r="B32" i="1"/>
  <c r="B33" i="1"/>
  <c r="B27" i="1"/>
  <c r="C27" i="1" s="1"/>
  <c r="B20" i="1"/>
  <c r="B21" i="1"/>
  <c r="B22" i="1"/>
  <c r="B23" i="1"/>
  <c r="B24" i="1"/>
  <c r="B25" i="1"/>
  <c r="B26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 s="1"/>
  <c r="C28" i="1" l="1"/>
  <c r="C29" i="1" s="1"/>
  <c r="C30" i="1" s="1"/>
  <c r="C31" i="1" s="1"/>
  <c r="C32" i="1" s="1"/>
  <c r="C33" i="1" s="1"/>
  <c r="C19" i="1"/>
  <c r="C20" i="1" s="1"/>
  <c r="C21" i="1" s="1"/>
  <c r="C22" i="1" s="1"/>
  <c r="C23" i="1" s="1"/>
  <c r="C24" i="1" s="1"/>
  <c r="C25" i="1" s="1"/>
  <c r="C26" i="1" s="1"/>
  <c r="C14" i="1"/>
  <c r="C15" i="1" s="1"/>
  <c r="C16" i="1" s="1"/>
  <c r="C17" i="1" s="1"/>
  <c r="C18" i="1" s="1"/>
  <c r="C9" i="1"/>
  <c r="C10" i="1" s="1"/>
  <c r="C11" i="1" s="1"/>
  <c r="C12" i="1" s="1"/>
  <c r="C13" i="1" s="1"/>
  <c r="C3" i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<sst xmlns="http://schemas.openxmlformats.org/spreadsheetml/2006/main" count="78" uniqueCount="19">
  <si>
    <t>BuildingName</t>
  </si>
  <si>
    <t>BuildingID</t>
  </si>
  <si>
    <t>LEDIndex</t>
  </si>
  <si>
    <t>Zone</t>
  </si>
  <si>
    <t>IsExterior</t>
  </si>
  <si>
    <t>IsAmbient</t>
  </si>
  <si>
    <t>IsSeasonal</t>
  </si>
  <si>
    <t>IsFeature</t>
  </si>
  <si>
    <t>Notes</t>
  </si>
  <si>
    <t>Movie Theater</t>
  </si>
  <si>
    <t>street</t>
  </si>
  <si>
    <t>interior</t>
  </si>
  <si>
    <t>signage</t>
  </si>
  <si>
    <t>projector</t>
  </si>
  <si>
    <t>Zone Type</t>
  </si>
  <si>
    <t>French Bistro</t>
  </si>
  <si>
    <t>Bookstore</t>
  </si>
  <si>
    <t>Town Hall</t>
  </si>
  <si>
    <t>Fire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</si>
</sst>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6"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82DBB-A459-46EB-A7BC-5B06D95F8468}" name="Table1" displayName="Table1" ref="A1:I33" totalsRowShown="0">
  <autoFilter ref="A1:I33" xr:uid="{54482DBB-A459-46EB-A7BC-5B06D95F8468}"/>
  <tableColumns count="9">
    <tableColumn id="1" xr3:uid="{DE8F78B7-7BF6-4A2C-8381-BA6283413AA3}" name="BuildingName"/>
    <tableColumn id="2" xr3:uid="{B06AB87A-7AC8-4F50-85CE-31BEF7CD5ABA}" name="BuildingID" dataDxfId="5">
      <calculatedColumnFormula>SUBSTITUTE(UPPER(Table1[[#This Row],[BuildingName]])," ","_")</calculatedColumnFormula>
    </tableColumn>
    <tableColumn id="3" xr3:uid="{00E29F0C-D921-4AED-ACF5-731100864C95}" name="LEDIndex" dataDxfId="0">
      <calculatedColumnFormula>IF(Table1[[#This Row],[BuildingID]]=OFFSET(Table1[[#This Row],[BuildingID]],-1,0),OFFSET(Table1[[#This Row],[LEDIndex]],-1,0)+1,0)</calculatedColumnFormula>
    </tableColumn>
    <tableColumn id="4" xr3:uid="{E2CDCBEB-B2A9-4445-93B1-2704CDA53A71}" name="Zone"/>
    <tableColumn id="5" xr3:uid="{74A3AA1D-CC96-4F16-8738-9B1B73B3231E}" name="IsExterior" dataDxfId="4"/>
    <tableColumn id="6" xr3:uid="{5EDB1F9C-5CF0-47CD-8533-864C3E8B2D1A}" name="IsAmbient" dataDxfId="3"/>
    <tableColumn id="7" xr3:uid="{8505056E-730A-41CD-A01A-028621616696}" name="IsSeasonal" dataDxfId="2"/>
    <tableColumn id="8" xr3:uid="{82E4B480-79E4-4516-8F38-CBBB7E133EC3}" name="IsFeature" dataDxfId="1"/>
    <tableColumn id="9" xr3:uid="{540D850B-5FD5-4172-92AB-00585A4F909B}" name="Not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F26510-3A8D-49A4-9223-A74344063A07}" name="Table2" displayName="Table2" ref="A1:A5" totalsRowShown="0">
  <autoFilter ref="A1:A5" xr:uid="{BAF26510-3A8D-49A4-9223-A74344063A07}"/>
  <tableColumns count="1">
    <tableColumn id="1" xr3:uid="{503BA379-3A05-4CD6-BA11-9B4FA480BEF5}" name="Zon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BD86-5D1C-44BC-88B7-B37A6867286F}">
  <dimension ref="A1:I33"/>
  <sheetViews>
    <sheetView tabSelected="1" workbookViewId="0">
      <selection activeCell="G33" sqref="G33"/>
    </sheetView>
  </sheetViews>
  <sheetFormatPr defaultRowHeight="14.5" x14ac:dyDescent="0.35"/>
  <cols>
    <col min="1" max="1" width="14.90625" bestFit="1" customWidth="1"/>
    <col min="2" max="2" width="31.6328125" customWidth="1"/>
    <col min="3" max="3" width="10.90625" bestFit="1" customWidth="1"/>
    <col min="4" max="4" width="25.26953125" customWidth="1"/>
    <col min="5" max="5" width="10.90625" bestFit="1" customWidth="1"/>
    <col min="6" max="6" width="11.6328125" bestFit="1" customWidth="1"/>
    <col min="7" max="7" width="12.1796875" bestFit="1" customWidth="1"/>
    <col min="8" max="8" width="10.90625" bestFit="1" customWidth="1"/>
    <col min="9" max="9" width="7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tr">
        <f>SUBSTITUTE(UPPER(Table1[[#This Row],[BuildingName]])," ","_")</f>
        <v>MOVIE_THEATER</v>
      </c>
      <c r="C2">
        <f ca="1">IF(Table1[[#This Row],[BuildingID]]=OFFSET(Table1[[#This Row],[BuildingID]],-1,0),OFFSET(Table1[[#This Row],[LEDIndex]],-1,0)+1,0)</f>
        <v>0</v>
      </c>
      <c r="D2" t="s">
        <v>10</v>
      </c>
      <c r="E2" s="2" t="b">
        <v>1</v>
      </c>
      <c r="F2" s="2" t="b">
        <v>0</v>
      </c>
      <c r="G2" s="2" t="b">
        <v>0</v>
      </c>
      <c r="H2" s="2" t="b">
        <v>0</v>
      </c>
    </row>
    <row r="3" spans="1:9" x14ac:dyDescent="0.35">
      <c r="A3" t="s">
        <v>9</v>
      </c>
      <c r="B3" s="1" t="str">
        <f>SUBSTITUTE(UPPER(Table1[[#This Row],[BuildingName]])," ","_")</f>
        <v>MOVIE_THEATER</v>
      </c>
      <c r="C3" s="1">
        <f ca="1">IF(Table1[[#This Row],[BuildingID]]=OFFSET(Table1[[#This Row],[BuildingID]],-1,0),OFFSET(Table1[[#This Row],[LEDIndex]],-1,0)+1,0)</f>
        <v>1</v>
      </c>
      <c r="D3" t="s">
        <v>10</v>
      </c>
      <c r="E3" s="2" t="b">
        <v>1</v>
      </c>
      <c r="F3" s="2" t="b">
        <v>0</v>
      </c>
      <c r="G3" s="2" t="b">
        <v>0</v>
      </c>
      <c r="H3" s="2" t="b">
        <v>0</v>
      </c>
    </row>
    <row r="4" spans="1:9" x14ac:dyDescent="0.35">
      <c r="A4" t="s">
        <v>9</v>
      </c>
      <c r="B4" s="1" t="str">
        <f>SUBSTITUTE(UPPER(Table1[[#This Row],[BuildingName]])," ","_")</f>
        <v>MOVIE_THEATER</v>
      </c>
      <c r="C4" s="1">
        <f ca="1">IF(Table1[[#This Row],[BuildingID]]=OFFSET(Table1[[#This Row],[BuildingID]],-1,0),OFFSET(Table1[[#This Row],[LEDIndex]],-1,0)+1,0)</f>
        <v>2</v>
      </c>
      <c r="D4" t="s">
        <v>11</v>
      </c>
      <c r="E4" s="2" t="b">
        <v>0</v>
      </c>
      <c r="F4" s="2" t="b">
        <v>0</v>
      </c>
      <c r="G4" s="2" t="b">
        <v>1</v>
      </c>
      <c r="H4" s="2" t="b">
        <v>0</v>
      </c>
    </row>
    <row r="5" spans="1:9" x14ac:dyDescent="0.35">
      <c r="A5" t="s">
        <v>9</v>
      </c>
      <c r="B5" s="1" t="str">
        <f>SUBSTITUTE(UPPER(Table1[[#This Row],[BuildingName]])," ","_")</f>
        <v>MOVIE_THEATER</v>
      </c>
      <c r="C5" s="1">
        <f ca="1">IF(Table1[[#This Row],[BuildingID]]=OFFSET(Table1[[#This Row],[BuildingID]],-1,0),OFFSET(Table1[[#This Row],[LEDIndex]],-1,0)+1,0)</f>
        <v>3</v>
      </c>
      <c r="D5" t="s">
        <v>13</v>
      </c>
      <c r="E5" s="2" t="b">
        <v>0</v>
      </c>
      <c r="F5" s="2" t="b">
        <v>1</v>
      </c>
      <c r="G5" s="2" t="b">
        <v>0</v>
      </c>
      <c r="H5" s="2" t="b">
        <v>1</v>
      </c>
    </row>
    <row r="6" spans="1:9" x14ac:dyDescent="0.35">
      <c r="A6" t="s">
        <v>9</v>
      </c>
      <c r="B6" s="1" t="str">
        <f>SUBSTITUTE(UPPER(Table1[[#This Row],[BuildingName]])," ","_")</f>
        <v>MOVIE_THEATER</v>
      </c>
      <c r="C6" s="1">
        <f ca="1">IF(Table1[[#This Row],[BuildingID]]=OFFSET(Table1[[#This Row],[BuildingID]],-1,0),OFFSET(Table1[[#This Row],[LEDIndex]],-1,0)+1,0)</f>
        <v>4</v>
      </c>
      <c r="D6" t="s">
        <v>11</v>
      </c>
      <c r="E6" s="2" t="b">
        <v>0</v>
      </c>
      <c r="F6" s="2" t="b">
        <v>0</v>
      </c>
      <c r="G6" s="2" t="b">
        <v>0</v>
      </c>
      <c r="H6" s="2" t="b">
        <v>0</v>
      </c>
    </row>
    <row r="7" spans="1:9" x14ac:dyDescent="0.35">
      <c r="A7" t="s">
        <v>9</v>
      </c>
      <c r="B7" s="1" t="str">
        <f>SUBSTITUTE(UPPER(Table1[[#This Row],[BuildingName]])," ","_")</f>
        <v>MOVIE_THEATER</v>
      </c>
      <c r="C7" s="1">
        <f ca="1">IF(Table1[[#This Row],[BuildingID]]=OFFSET(Table1[[#This Row],[BuildingID]],-1,0),OFFSET(Table1[[#This Row],[LEDIndex]],-1,0)+1,0)</f>
        <v>5</v>
      </c>
      <c r="D7" t="s">
        <v>12</v>
      </c>
      <c r="E7" s="2" t="b">
        <v>1</v>
      </c>
      <c r="F7" s="2" t="b">
        <v>0</v>
      </c>
      <c r="G7" s="2" t="b">
        <v>0</v>
      </c>
      <c r="H7" s="2" t="b">
        <v>0</v>
      </c>
    </row>
    <row r="8" spans="1:9" x14ac:dyDescent="0.35">
      <c r="A8" t="s">
        <v>9</v>
      </c>
      <c r="B8" s="1" t="str">
        <f>SUBSTITUTE(UPPER(Table1[[#This Row],[BuildingName]])," ","_")</f>
        <v>MOVIE_THEATER</v>
      </c>
      <c r="C8" s="1">
        <f ca="1">IF(Table1[[#This Row],[BuildingID]]=OFFSET(Table1[[#This Row],[BuildingID]],-1,0),OFFSET(Table1[[#This Row],[LEDIndex]],-1,0)+1,0)</f>
        <v>6</v>
      </c>
      <c r="D8" t="s">
        <v>12</v>
      </c>
      <c r="E8" s="2" t="b">
        <v>1</v>
      </c>
      <c r="F8" s="2" t="b">
        <v>0</v>
      </c>
      <c r="G8" s="2" t="b">
        <v>0</v>
      </c>
      <c r="H8" s="2" t="b">
        <v>0</v>
      </c>
    </row>
    <row r="9" spans="1:9" x14ac:dyDescent="0.35">
      <c r="A9" t="s">
        <v>15</v>
      </c>
      <c r="B9" s="1" t="str">
        <f>SUBSTITUTE(UPPER(Table1[[#This Row],[BuildingName]])," ","_")</f>
        <v>FRENCH_BISTRO</v>
      </c>
      <c r="C9" s="1">
        <f ca="1">IF(Table1[[#This Row],[BuildingID]]=OFFSET(Table1[[#This Row],[BuildingID]],-1,0),OFFSET(Table1[[#This Row],[LEDIndex]],-1,0)+1,0)</f>
        <v>0</v>
      </c>
      <c r="D9" t="s">
        <v>10</v>
      </c>
      <c r="E9" s="2" t="b">
        <v>1</v>
      </c>
      <c r="F9" s="2" t="b">
        <v>0</v>
      </c>
      <c r="G9" s="2" t="b">
        <v>0</v>
      </c>
      <c r="H9" s="2" t="b">
        <v>0</v>
      </c>
    </row>
    <row r="10" spans="1:9" x14ac:dyDescent="0.35">
      <c r="A10" t="s">
        <v>15</v>
      </c>
      <c r="B10" s="1" t="str">
        <f>SUBSTITUTE(UPPER(Table1[[#This Row],[BuildingName]])," ","_")</f>
        <v>FRENCH_BISTRO</v>
      </c>
      <c r="C10" s="1">
        <f ca="1">IF(Table1[[#This Row],[BuildingID]]=OFFSET(Table1[[#This Row],[BuildingID]],-1,0),OFFSET(Table1[[#This Row],[LEDIndex]],-1,0)+1,0)</f>
        <v>1</v>
      </c>
      <c r="D10" t="s">
        <v>10</v>
      </c>
      <c r="E10" s="2" t="b">
        <v>1</v>
      </c>
      <c r="F10" s="2" t="b">
        <v>0</v>
      </c>
      <c r="G10" s="2" t="b">
        <v>0</v>
      </c>
      <c r="H10" s="2" t="b">
        <v>0</v>
      </c>
    </row>
    <row r="11" spans="1:9" x14ac:dyDescent="0.35">
      <c r="A11" t="s">
        <v>15</v>
      </c>
      <c r="B11" s="1" t="str">
        <f>SUBSTITUTE(UPPER(Table1[[#This Row],[BuildingName]])," ","_")</f>
        <v>FRENCH_BISTRO</v>
      </c>
      <c r="C11" s="1">
        <f ca="1">IF(Table1[[#This Row],[BuildingID]]=OFFSET(Table1[[#This Row],[BuildingID]],-1,0),OFFSET(Table1[[#This Row],[LEDIndex]],-1,0)+1,0)</f>
        <v>2</v>
      </c>
      <c r="D11" t="s">
        <v>11</v>
      </c>
      <c r="E11" s="2" t="b">
        <v>0</v>
      </c>
      <c r="F11" s="2" t="b">
        <v>0</v>
      </c>
      <c r="G11" s="2" t="b">
        <v>1</v>
      </c>
      <c r="H11" s="2" t="b">
        <v>0</v>
      </c>
    </row>
    <row r="12" spans="1:9" x14ac:dyDescent="0.35">
      <c r="A12" t="s">
        <v>15</v>
      </c>
      <c r="B12" s="1" t="str">
        <f>SUBSTITUTE(UPPER(Table1[[#This Row],[BuildingName]])," ","_")</f>
        <v>FRENCH_BISTRO</v>
      </c>
      <c r="C12" s="1">
        <f ca="1">IF(Table1[[#This Row],[BuildingID]]=OFFSET(Table1[[#This Row],[BuildingID]],-1,0),OFFSET(Table1[[#This Row],[LEDIndex]],-1,0)+1,0)</f>
        <v>3</v>
      </c>
      <c r="D12" t="s">
        <v>11</v>
      </c>
      <c r="E12" s="2" t="b">
        <v>0</v>
      </c>
      <c r="F12" s="2" t="b">
        <v>0</v>
      </c>
      <c r="G12" s="2" t="b">
        <v>1</v>
      </c>
      <c r="H12" s="2" t="b">
        <v>0</v>
      </c>
    </row>
    <row r="13" spans="1:9" x14ac:dyDescent="0.35">
      <c r="A13" t="s">
        <v>15</v>
      </c>
      <c r="B13" s="1" t="str">
        <f>SUBSTITUTE(UPPER(Table1[[#This Row],[BuildingName]])," ","_")</f>
        <v>FRENCH_BISTRO</v>
      </c>
      <c r="C13" s="1">
        <f ca="1">IF(Table1[[#This Row],[BuildingID]]=OFFSET(Table1[[#This Row],[BuildingID]],-1,0),OFFSET(Table1[[#This Row],[LEDIndex]],-1,0)+1,0)</f>
        <v>4</v>
      </c>
      <c r="D13" t="s">
        <v>12</v>
      </c>
      <c r="E13" s="2" t="b">
        <v>1</v>
      </c>
      <c r="F13" s="2" t="b">
        <v>0</v>
      </c>
      <c r="G13" s="2" t="b">
        <v>0</v>
      </c>
      <c r="H13" s="2" t="b">
        <v>0</v>
      </c>
    </row>
    <row r="14" spans="1:9" x14ac:dyDescent="0.35">
      <c r="A14" t="s">
        <v>16</v>
      </c>
      <c r="B14" s="1" t="str">
        <f>SUBSTITUTE(UPPER(Table1[[#This Row],[BuildingName]])," ","_")</f>
        <v>BOOKSTORE</v>
      </c>
      <c r="C14" s="1">
        <f ca="1">IF(Table1[[#This Row],[BuildingID]]=OFFSET(Table1[[#This Row],[BuildingID]],-1,0),OFFSET(Table1[[#This Row],[LEDIndex]],-1,0)+1,0)</f>
        <v>0</v>
      </c>
      <c r="D14" t="s">
        <v>10</v>
      </c>
      <c r="E14" s="2" t="b">
        <v>1</v>
      </c>
      <c r="F14" s="2" t="b">
        <v>0</v>
      </c>
      <c r="G14" s="2" t="b">
        <v>0</v>
      </c>
      <c r="H14" s="2" t="b">
        <v>0</v>
      </c>
    </row>
    <row r="15" spans="1:9" x14ac:dyDescent="0.35">
      <c r="A15" t="s">
        <v>16</v>
      </c>
      <c r="B15" s="1" t="str">
        <f>SUBSTITUTE(UPPER(Table1[[#This Row],[BuildingName]])," ","_")</f>
        <v>BOOKSTORE</v>
      </c>
      <c r="C15" s="1">
        <f ca="1">IF(Table1[[#This Row],[BuildingID]]=OFFSET(Table1[[#This Row],[BuildingID]],-1,0),OFFSET(Table1[[#This Row],[LEDIndex]],-1,0)+1,0)</f>
        <v>1</v>
      </c>
      <c r="D15" t="s">
        <v>11</v>
      </c>
      <c r="E15" s="2" t="b">
        <v>0</v>
      </c>
      <c r="F15" s="2" t="b">
        <v>0</v>
      </c>
      <c r="G15" s="2" t="b">
        <v>0</v>
      </c>
      <c r="H15" s="2" t="b">
        <v>0</v>
      </c>
    </row>
    <row r="16" spans="1:9" x14ac:dyDescent="0.35">
      <c r="A16" t="s">
        <v>16</v>
      </c>
      <c r="B16" s="1" t="str">
        <f>SUBSTITUTE(UPPER(Table1[[#This Row],[BuildingName]])," ","_")</f>
        <v>BOOKSTORE</v>
      </c>
      <c r="C16" s="1">
        <f ca="1">IF(Table1[[#This Row],[BuildingID]]=OFFSET(Table1[[#This Row],[BuildingID]],-1,0),OFFSET(Table1[[#This Row],[LEDIndex]],-1,0)+1,0)</f>
        <v>2</v>
      </c>
      <c r="D16" t="s">
        <v>11</v>
      </c>
      <c r="E16" s="2" t="b">
        <v>0</v>
      </c>
      <c r="F16" s="2" t="b">
        <v>0</v>
      </c>
      <c r="G16" s="2" t="b">
        <v>0</v>
      </c>
      <c r="H16" s="2" t="b">
        <v>0</v>
      </c>
    </row>
    <row r="17" spans="1:8" x14ac:dyDescent="0.35">
      <c r="A17" t="s">
        <v>16</v>
      </c>
      <c r="B17" s="1" t="str">
        <f>SUBSTITUTE(UPPER(Table1[[#This Row],[BuildingName]])," ","_")</f>
        <v>BOOKSTORE</v>
      </c>
      <c r="C17" s="1">
        <f ca="1">IF(Table1[[#This Row],[BuildingID]]=OFFSET(Table1[[#This Row],[BuildingID]],-1,0),OFFSET(Table1[[#This Row],[LEDIndex]],-1,0)+1,0)</f>
        <v>3</v>
      </c>
      <c r="D17" t="s">
        <v>12</v>
      </c>
      <c r="E17" s="2" t="b">
        <v>1</v>
      </c>
      <c r="F17" s="2" t="b">
        <v>0</v>
      </c>
      <c r="G17" s="2" t="b">
        <v>0</v>
      </c>
      <c r="H17" s="2" t="b">
        <v>0</v>
      </c>
    </row>
    <row r="18" spans="1:8" x14ac:dyDescent="0.35">
      <c r="A18" t="s">
        <v>16</v>
      </c>
      <c r="B18" s="1" t="str">
        <f>SUBSTITUTE(UPPER(Table1[[#This Row],[BuildingName]])," ","_")</f>
        <v>BOOKSTORE</v>
      </c>
      <c r="C18" s="1">
        <f ca="1">IF(Table1[[#This Row],[BuildingID]]=OFFSET(Table1[[#This Row],[BuildingID]],-1,0),OFFSET(Table1[[#This Row],[LEDIndex]],-1,0)+1,0)</f>
        <v>4</v>
      </c>
      <c r="D18" t="s">
        <v>12</v>
      </c>
      <c r="E18" s="2" t="b">
        <v>1</v>
      </c>
      <c r="F18" s="2" t="b">
        <v>0</v>
      </c>
      <c r="G18" s="2" t="b">
        <v>0</v>
      </c>
      <c r="H18" s="2" t="b">
        <v>0</v>
      </c>
    </row>
    <row r="19" spans="1:8" x14ac:dyDescent="0.35">
      <c r="A19" t="s">
        <v>17</v>
      </c>
      <c r="B19" s="1" t="str">
        <f>SUBSTITUTE(UPPER(Table1[[#This Row],[BuildingName]])," ","_")</f>
        <v>TOWN_HALL</v>
      </c>
      <c r="C19" s="1">
        <f ca="1">IF(Table1[[#This Row],[BuildingID]]=OFFSET(Table1[[#This Row],[BuildingID]],-1,0),OFFSET(Table1[[#This Row],[LEDIndex]],-1,0)+1,0)</f>
        <v>0</v>
      </c>
      <c r="D19" t="s">
        <v>10</v>
      </c>
      <c r="E19" s="2" t="b">
        <v>0</v>
      </c>
      <c r="F19" s="2" t="b">
        <v>1</v>
      </c>
      <c r="G19" s="2" t="b">
        <v>0</v>
      </c>
      <c r="H19" s="2" t="b">
        <v>1</v>
      </c>
    </row>
    <row r="20" spans="1:8" x14ac:dyDescent="0.35">
      <c r="A20" t="s">
        <v>17</v>
      </c>
      <c r="B20" s="1" t="str">
        <f>SUBSTITUTE(UPPER(Table1[[#This Row],[BuildingName]])," ","_")</f>
        <v>TOWN_HALL</v>
      </c>
      <c r="C20" s="1">
        <f ca="1">IF(Table1[[#This Row],[BuildingID]]=OFFSET(Table1[[#This Row],[BuildingID]],-1,0),OFFSET(Table1[[#This Row],[LEDIndex]],-1,0)+1,0)</f>
        <v>1</v>
      </c>
      <c r="D20" t="s">
        <v>10</v>
      </c>
      <c r="E20" s="2" t="b">
        <v>1</v>
      </c>
      <c r="F20" s="2" t="b">
        <v>0</v>
      </c>
      <c r="G20" s="2" t="b">
        <v>0</v>
      </c>
      <c r="H20" s="2" t="b">
        <v>0</v>
      </c>
    </row>
    <row r="21" spans="1:8" x14ac:dyDescent="0.35">
      <c r="A21" t="s">
        <v>17</v>
      </c>
      <c r="B21" s="1" t="str">
        <f>SUBSTITUTE(UPPER(Table1[[#This Row],[BuildingName]])," ","_")</f>
        <v>TOWN_HALL</v>
      </c>
      <c r="C21" s="1">
        <f ca="1">IF(Table1[[#This Row],[BuildingID]]=OFFSET(Table1[[#This Row],[BuildingID]],-1,0),OFFSET(Table1[[#This Row],[LEDIndex]],-1,0)+1,0)</f>
        <v>2</v>
      </c>
      <c r="D21" t="s">
        <v>11</v>
      </c>
      <c r="E21" s="2" t="b">
        <v>0</v>
      </c>
      <c r="F21" s="2" t="b">
        <v>0</v>
      </c>
      <c r="G21" s="2" t="b">
        <v>1</v>
      </c>
      <c r="H21" s="2" t="b">
        <v>0</v>
      </c>
    </row>
    <row r="22" spans="1:8" x14ac:dyDescent="0.35">
      <c r="A22" t="s">
        <v>17</v>
      </c>
      <c r="B22" s="1" t="str">
        <f>SUBSTITUTE(UPPER(Table1[[#This Row],[BuildingName]])," ","_")</f>
        <v>TOWN_HALL</v>
      </c>
      <c r="C22" s="1">
        <f ca="1">IF(Table1[[#This Row],[BuildingID]]=OFFSET(Table1[[#This Row],[BuildingID]],-1,0),OFFSET(Table1[[#This Row],[LEDIndex]],-1,0)+1,0)</f>
        <v>3</v>
      </c>
      <c r="D22" t="s">
        <v>11</v>
      </c>
      <c r="E22" s="2" t="b">
        <v>0</v>
      </c>
      <c r="F22" s="2" t="b">
        <v>1</v>
      </c>
      <c r="G22" s="2" t="b">
        <v>0</v>
      </c>
      <c r="H22" s="2" t="b">
        <v>0</v>
      </c>
    </row>
    <row r="23" spans="1:8" x14ac:dyDescent="0.35">
      <c r="A23" t="s">
        <v>17</v>
      </c>
      <c r="B23" s="1" t="str">
        <f>SUBSTITUTE(UPPER(Table1[[#This Row],[BuildingName]])," ","_")</f>
        <v>TOWN_HALL</v>
      </c>
      <c r="C23" s="1">
        <f ca="1">IF(Table1[[#This Row],[BuildingID]]=OFFSET(Table1[[#This Row],[BuildingID]],-1,0),OFFSET(Table1[[#This Row],[LEDIndex]],-1,0)+1,0)</f>
        <v>4</v>
      </c>
      <c r="D23" t="s">
        <v>11</v>
      </c>
      <c r="E23" s="2" t="b">
        <v>0</v>
      </c>
      <c r="F23" s="2" t="b">
        <v>1</v>
      </c>
      <c r="G23" s="2" t="b">
        <v>0</v>
      </c>
      <c r="H23" s="2" t="b">
        <v>0</v>
      </c>
    </row>
    <row r="24" spans="1:8" x14ac:dyDescent="0.35">
      <c r="A24" t="s">
        <v>17</v>
      </c>
      <c r="B24" s="1" t="str">
        <f>SUBSTITUTE(UPPER(Table1[[#This Row],[BuildingName]])," ","_")</f>
        <v>TOWN_HALL</v>
      </c>
      <c r="C24" s="1">
        <f ca="1">IF(Table1[[#This Row],[BuildingID]]=OFFSET(Table1[[#This Row],[BuildingID]],-1,0),OFFSET(Table1[[#This Row],[LEDIndex]],-1,0)+1,0)</f>
        <v>5</v>
      </c>
      <c r="D24" t="s">
        <v>11</v>
      </c>
      <c r="E24" s="2" t="b">
        <v>0</v>
      </c>
      <c r="F24" s="2" t="b">
        <v>0</v>
      </c>
      <c r="G24" s="2" t="b">
        <v>1</v>
      </c>
      <c r="H24" s="2" t="b">
        <v>0</v>
      </c>
    </row>
    <row r="25" spans="1:8" x14ac:dyDescent="0.35">
      <c r="A25" t="s">
        <v>17</v>
      </c>
      <c r="B25" s="1" t="str">
        <f>SUBSTITUTE(UPPER(Table1[[#This Row],[BuildingName]])," ","_")</f>
        <v>TOWN_HALL</v>
      </c>
      <c r="C25" s="1">
        <f ca="1">IF(Table1[[#This Row],[BuildingID]]=OFFSET(Table1[[#This Row],[BuildingID]],-1,0),OFFSET(Table1[[#This Row],[LEDIndex]],-1,0)+1,0)</f>
        <v>6</v>
      </c>
      <c r="D25" t="s">
        <v>11</v>
      </c>
      <c r="E25" s="2" t="b">
        <v>0</v>
      </c>
      <c r="F25" s="2" t="b">
        <v>1</v>
      </c>
      <c r="G25" s="2" t="b">
        <v>0</v>
      </c>
      <c r="H25" s="2" t="b">
        <v>0</v>
      </c>
    </row>
    <row r="26" spans="1:8" x14ac:dyDescent="0.35">
      <c r="A26" t="s">
        <v>17</v>
      </c>
      <c r="B26" s="1" t="str">
        <f>SUBSTITUTE(UPPER(Table1[[#This Row],[BuildingName]])," ","_")</f>
        <v>TOWN_HALL</v>
      </c>
      <c r="C26" s="1">
        <f ca="1">IF(Table1[[#This Row],[BuildingID]]=OFFSET(Table1[[#This Row],[BuildingID]],-1,0),OFFSET(Table1[[#This Row],[LEDIndex]],-1,0)+1,0)</f>
        <v>7</v>
      </c>
      <c r="D26" t="s">
        <v>12</v>
      </c>
      <c r="E26" s="2" t="b">
        <v>1</v>
      </c>
      <c r="F26" s="2" t="b">
        <v>0</v>
      </c>
      <c r="G26" s="2" t="b">
        <v>0</v>
      </c>
      <c r="H26" s="2" t="b">
        <v>1</v>
      </c>
    </row>
    <row r="27" spans="1:8" x14ac:dyDescent="0.35">
      <c r="A27" t="s">
        <v>18</v>
      </c>
      <c r="B27" s="1" t="str">
        <f>SUBSTITUTE(UPPER(Table1[[#This Row],[BuildingName]])," ","_")</f>
        <v>FIRE_STATION</v>
      </c>
      <c r="C27" s="1">
        <f ca="1">IF(Table1[[#This Row],[BuildingID]]=OFFSET(Table1[[#This Row],[BuildingID]],-1,0),OFFSET(Table1[[#This Row],[LEDIndex]],-1,0)+1,0)</f>
        <v>0</v>
      </c>
      <c r="D27" t="s">
        <v>10</v>
      </c>
      <c r="E27" s="2" t="b">
        <v>1</v>
      </c>
      <c r="F27" s="2" t="b">
        <v>0</v>
      </c>
      <c r="G27" s="2" t="b">
        <v>0</v>
      </c>
      <c r="H27" s="2" t="b">
        <v>0</v>
      </c>
    </row>
    <row r="28" spans="1:8" x14ac:dyDescent="0.35">
      <c r="A28" t="s">
        <v>18</v>
      </c>
      <c r="B28" s="1" t="str">
        <f>SUBSTITUTE(UPPER(Table1[[#This Row],[BuildingName]])," ","_")</f>
        <v>FIRE_STATION</v>
      </c>
      <c r="C28" s="1">
        <f ca="1">IF(Table1[[#This Row],[BuildingID]]=OFFSET(Table1[[#This Row],[BuildingID]],-1,0),OFFSET(Table1[[#This Row],[LEDIndex]],-1,0)+1,0)</f>
        <v>1</v>
      </c>
      <c r="D28" t="s">
        <v>10</v>
      </c>
      <c r="E28" s="2" t="b">
        <v>1</v>
      </c>
      <c r="F28" s="2" t="b">
        <v>0</v>
      </c>
      <c r="G28" s="2" t="b">
        <v>0</v>
      </c>
      <c r="H28" s="2" t="b">
        <v>0</v>
      </c>
    </row>
    <row r="29" spans="1:8" x14ac:dyDescent="0.35">
      <c r="A29" t="s">
        <v>18</v>
      </c>
      <c r="B29" s="1" t="str">
        <f>SUBSTITUTE(UPPER(Table1[[#This Row],[BuildingName]])," ","_")</f>
        <v>FIRE_STATION</v>
      </c>
      <c r="C29" s="1">
        <f ca="1">IF(Table1[[#This Row],[BuildingID]]=OFFSET(Table1[[#This Row],[BuildingID]],-1,0),OFFSET(Table1[[#This Row],[LEDIndex]],-1,0)+1,0)</f>
        <v>2</v>
      </c>
      <c r="D29" t="s">
        <v>11</v>
      </c>
      <c r="E29" s="2" t="b">
        <v>0</v>
      </c>
      <c r="F29" s="2" t="b">
        <v>1</v>
      </c>
      <c r="G29" s="2" t="b">
        <v>0</v>
      </c>
      <c r="H29" s="2" t="b">
        <v>0</v>
      </c>
    </row>
    <row r="30" spans="1:8" x14ac:dyDescent="0.35">
      <c r="A30" t="s">
        <v>18</v>
      </c>
      <c r="B30" s="1" t="str">
        <f>SUBSTITUTE(UPPER(Table1[[#This Row],[BuildingName]])," ","_")</f>
        <v>FIRE_STATION</v>
      </c>
      <c r="C30" s="1">
        <f ca="1">IF(Table1[[#This Row],[BuildingID]]=OFFSET(Table1[[#This Row],[BuildingID]],-1,0),OFFSET(Table1[[#This Row],[LEDIndex]],-1,0)+1,0)</f>
        <v>3</v>
      </c>
      <c r="D30" t="s">
        <v>11</v>
      </c>
      <c r="E30" s="2" t="b">
        <v>0</v>
      </c>
      <c r="F30" s="2" t="b">
        <v>0</v>
      </c>
      <c r="G30" s="2" t="b">
        <v>1</v>
      </c>
      <c r="H30" s="2" t="b">
        <v>0</v>
      </c>
    </row>
    <row r="31" spans="1:8" x14ac:dyDescent="0.35">
      <c r="A31" t="s">
        <v>18</v>
      </c>
      <c r="B31" s="1" t="str">
        <f>SUBSTITUTE(UPPER(Table1[[#This Row],[BuildingName]])," ","_")</f>
        <v>FIRE_STATION</v>
      </c>
      <c r="C31" s="1">
        <f ca="1">IF(Table1[[#This Row],[BuildingID]]=OFFSET(Table1[[#This Row],[BuildingID]],-1,0),OFFSET(Table1[[#This Row],[LEDIndex]],-1,0)+1,0)</f>
        <v>4</v>
      </c>
      <c r="D31" t="s">
        <v>11</v>
      </c>
      <c r="E31" s="2" t="b">
        <v>0</v>
      </c>
      <c r="F31" s="2" t="b">
        <v>1</v>
      </c>
      <c r="G31" s="2" t="b">
        <v>0</v>
      </c>
      <c r="H31" s="2" t="b">
        <v>0</v>
      </c>
    </row>
    <row r="32" spans="1:8" x14ac:dyDescent="0.35">
      <c r="A32" t="s">
        <v>18</v>
      </c>
      <c r="B32" s="1" t="str">
        <f>SUBSTITUTE(UPPER(Table1[[#This Row],[BuildingName]])," ","_")</f>
        <v>FIRE_STATION</v>
      </c>
      <c r="C32" s="1">
        <f ca="1">IF(Table1[[#This Row],[BuildingID]]=OFFSET(Table1[[#This Row],[BuildingID]],-1,0),OFFSET(Table1[[#This Row],[LEDIndex]],-1,0)+1,0)</f>
        <v>5</v>
      </c>
      <c r="D32" t="s">
        <v>11</v>
      </c>
      <c r="E32" s="2" t="b">
        <v>0</v>
      </c>
      <c r="F32" s="2" t="b">
        <v>0</v>
      </c>
      <c r="G32" s="2" t="b">
        <v>1</v>
      </c>
      <c r="H32" s="2" t="b">
        <v>0</v>
      </c>
    </row>
    <row r="33" spans="1:8" x14ac:dyDescent="0.35">
      <c r="A33" t="s">
        <v>18</v>
      </c>
      <c r="B33" s="1" t="str">
        <f>SUBSTITUTE(UPPER(Table1[[#This Row],[BuildingName]])," ","_")</f>
        <v>FIRE_STATION</v>
      </c>
      <c r="C33" s="1">
        <f ca="1">IF(Table1[[#This Row],[BuildingID]]=OFFSET(Table1[[#This Row],[BuildingID]],-1,0),OFFSET(Table1[[#This Row],[LEDIndex]],-1,0)+1,0)</f>
        <v>6</v>
      </c>
      <c r="D33" t="s">
        <v>11</v>
      </c>
      <c r="E33" s="2" t="b">
        <v>0</v>
      </c>
      <c r="F33" s="2" t="b">
        <v>0</v>
      </c>
      <c r="G33" s="2" t="b">
        <v>1</v>
      </c>
      <c r="H33" s="2" t="b"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BF02C3-7E85-4153-9B2E-C94DACED91B7}">
          <x14:formula1>
            <xm:f>'Drop-downs'!$A$2:$A$25</xm:f>
          </x14:formula1>
          <xm:sqref>D2:D33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D44B-9B38-45C4-86D1-830DBE74C837}">
  <dimension ref="A1:A5"/>
  <sheetViews>
    <sheetView workbookViewId="0">
      <selection activeCell="F12" sqref="F12"/>
    </sheetView>
  </sheetViews>
  <sheetFormatPr defaultRowHeight="14.5" x14ac:dyDescent="0.35"/>
  <cols>
    <col min="1" max="1" width="10.81640625" customWidth="1"/>
  </cols>
  <sheetData>
    <row r="1" spans="1:1" x14ac:dyDescent="0.35">
      <c r="A1" t="s">
        <v>14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LightingPlan</vt:lpstr>
      <vt:lpstr>Drop-downs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David A</dc:creator>
  <cp:lastModifiedBy>Garcia, David A</cp:lastModifiedBy>
  <dcterms:created xsi:type="dcterms:W3CDTF">2026-01-20T17:11:09Z</dcterms:created>
  <dcterms:modified xsi:type="dcterms:W3CDTF">2026-01-20T19:42:07Z</dcterms:modified>
</cp:coreProperties>
</file>